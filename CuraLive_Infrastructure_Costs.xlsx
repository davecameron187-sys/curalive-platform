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e Overview" state="visible" r:id="rId4"/>
    <sheet sheetId="2" name="Cost by Event Type" state="visible" r:id="rId5"/>
    <sheet sheetId="3" name="Monthly Projections" state="visible" r:id="rId6"/>
    <sheet sheetId="4" name="OpenAI Token Details" state="visible" r:id="rId7"/>
    <sheet sheetId="5" name="Optimization" state="visible" r:id="rId8"/>
    <sheet sheetId="6" name="Annual Projection" state="visible" r:id="rId9"/>
  </sheets>
  <calcPr calcId="171027"/>
</workbook>
</file>

<file path=xl/sharedStrings.xml><?xml version="1.0" encoding="utf-8"?>
<sst xmlns="http://schemas.openxmlformats.org/spreadsheetml/2006/main" count="213" uniqueCount="173">
  <si>
    <t>Service / Application</t>
  </si>
  <si>
    <t>Category</t>
  </si>
  <si>
    <t>Purpose in CuraLive</t>
  </si>
  <si>
    <t>Current Plan</t>
  </si>
  <si>
    <t>Pricing Model</t>
  </si>
  <si>
    <t>Fixed Monthly ($)</t>
  </si>
  <si>
    <t>Variable Per Event ($)</t>
  </si>
  <si>
    <t>Replit Hosting</t>
  </si>
  <si>
    <t>Hosting</t>
  </si>
  <si>
    <t>Application hosting, deployment, SSL, auto-scaling compute</t>
  </si>
  <si>
    <t>Pro / Teams</t>
  </si>
  <si>
    <t>Fixed</t>
  </si>
  <si>
    <t>MySQL Database</t>
  </si>
  <si>
    <t>Database</t>
  </si>
  <si>
    <t>Primary data store — sessions, archives, metrics, AI reports, CIP4 tables</t>
  </si>
  <si>
    <t>Managed DB</t>
  </si>
  <si>
    <t>Fixed + Storage</t>
  </si>
  <si>
    <t>OpenAI GPT-4o</t>
  </si>
  <si>
    <t>AI / LLM</t>
  </si>
  <si>
    <t>20-module AI report, crisis prediction, valuation impact, disclosure cert, compliance</t>
  </si>
  <si>
    <t>API Pay-as-you-go</t>
  </si>
  <si>
    <t>Per Token</t>
  </si>
  <si>
    <t>OpenAI GPT-4o-mini</t>
  </si>
  <si>
    <t>Evolution engine, advisory bot, Bastion AI, support chat, quick analysis</t>
  </si>
  <si>
    <t>OpenAI Whisper</t>
  </si>
  <si>
    <t>AI / Transcription</t>
  </si>
  <si>
    <t>Audio/video file transcription for archive uploads</t>
  </si>
  <si>
    <t>Per Minute</t>
  </si>
  <si>
    <t>Recall.ai</t>
  </si>
  <si>
    <t>Meeting Bot</t>
  </si>
  <si>
    <t>Bot joins Zoom/Teams/Meet for live Shadow Mode capture + real-time transcription</t>
  </si>
  <si>
    <t>Ably Realtime</t>
  </si>
  <si>
    <t>Messaging</t>
  </si>
  <si>
    <t>Live transcript streaming to operators, OCC notifications, attendee updates</t>
  </si>
  <si>
    <t>Free Tier</t>
  </si>
  <si>
    <t>Per Message</t>
  </si>
  <si>
    <t>Resend</t>
  </si>
  <si>
    <t>Email</t>
  </si>
  <si>
    <t>Transactional emails — intelligence reports, reminders, registration confirmations</t>
  </si>
  <si>
    <t>Free (100/day)</t>
  </si>
  <si>
    <t>Per Email</t>
  </si>
  <si>
    <t>Twilio</t>
  </si>
  <si>
    <t>Voice / Telco</t>
  </si>
  <si>
    <t>Webphone, PSTN conference dial-out, voice bridging</t>
  </si>
  <si>
    <t>Pay-as-you-go</t>
  </si>
  <si>
    <t>Telnyx</t>
  </si>
  <si>
    <t>Failover carrier for Africa/EMEA, WebRTC/SIP credentials</t>
  </si>
  <si>
    <t>Mux</t>
  </si>
  <si>
    <t>Video Streaming</t>
  </si>
  <si>
    <t>RTMP live streaming ingest, HLS adaptive playback, recording storage</t>
  </si>
  <si>
    <t>Per Minute + Views</t>
  </si>
  <si>
    <t>Stripe</t>
  </si>
  <si>
    <t>Payments</t>
  </si>
  <si>
    <t>Subscription billing, customer management, payment processing</t>
  </si>
  <si>
    <t>Standard</t>
  </si>
  <si>
    <t>2.9% + $0.30/txn</t>
  </si>
  <si>
    <t>GitHub</t>
  </si>
  <si>
    <t>Source Control</t>
  </si>
  <si>
    <t>Repository hosting, version control, CI/CD integration</t>
  </si>
  <si>
    <t>Free / Team</t>
  </si>
  <si>
    <t>Shadow Guardian</t>
  </si>
  <si>
    <t>Internal Service</t>
  </si>
  <si>
    <t>3-layer resilience — graceful shutdown, startup reconciliation, watchdog timer</t>
  </si>
  <si>
    <t>Built-in</t>
  </si>
  <si>
    <t>No cost</t>
  </si>
  <si>
    <t>System Diagnostics</t>
  </si>
  <si>
    <t>15-check health monitoring — DB, AI, APIs, router registry</t>
  </si>
  <si>
    <t/>
  </si>
  <si>
    <t>TOTAL FIXED</t>
  </si>
  <si>
    <t>TOTAL PER EVENT</t>
  </si>
  <si>
    <t>Event Type</t>
  </si>
  <si>
    <t>Services Used</t>
  </si>
  <si>
    <t>Recall.ai ($)</t>
  </si>
  <si>
    <t>OpenAI GPT-4o ($)</t>
  </si>
  <si>
    <t>OpenAI Mini ($)</t>
  </si>
  <si>
    <t>Whisper ($)</t>
  </si>
  <si>
    <t>Mux ($)</t>
  </si>
  <si>
    <t>Twilio ($)</t>
  </si>
  <si>
    <t>Total Per Event ($)</t>
  </si>
  <si>
    <t>Live Shadow Mode (Zoom/Teams/Meet)</t>
  </si>
  <si>
    <t>Recall bot + Whisper + 20-module AI report + Crisis + Valuation + Disclosure + Ably streaming</t>
  </si>
  <si>
    <t>Archive Upload (Audio/Video)</t>
  </si>
  <si>
    <t>Whisper transcription + 20-module AI report + Crisis + Valuation + Disclosure</t>
  </si>
  <si>
    <t>Transcript Paste (Text Only)</t>
  </si>
  <si>
    <t>20-module AI report + Crisis + Valuation + Disclosure (no transcription)</t>
  </si>
  <si>
    <t>Advisory Bot Query</t>
  </si>
  <si>
    <t>Single GPT-4o call with event context retrieval</t>
  </si>
  <si>
    <t>Monthly Intelligence Report</t>
  </si>
  <si>
    <t>Aggregation of month's data + GPT-4o analysis + email delivery</t>
  </si>
  <si>
    <t>Evolution Audit Run</t>
  </si>
  <si>
    <t>GPT-4o-mini self-assessment + prompt optimization</t>
  </si>
  <si>
    <t>Scenario</t>
  </si>
  <si>
    <t>Live Events</t>
  </si>
  <si>
    <t>Archive Uploads</t>
  </si>
  <si>
    <t>Transcript Pastes</t>
  </si>
  <si>
    <t>Advisory Queries</t>
  </si>
  <si>
    <t>Monthly Reports</t>
  </si>
  <si>
    <t>Fixed Costs ($)</t>
  </si>
  <si>
    <t>OpenAI ($)</t>
  </si>
  <si>
    <t>TOTAL Monthly ($)</t>
  </si>
  <si>
    <t>Current / Startup</t>
  </si>
  <si>
    <t>Growth</t>
  </si>
  <si>
    <t>Scale</t>
  </si>
  <si>
    <t>Enterprise</t>
  </si>
  <si>
    <t>High Enterprise</t>
  </si>
  <si>
    <t>Model</t>
  </si>
  <si>
    <t>Input Cost ($/1M tokens)</t>
  </si>
  <si>
    <t>Output Cost ($/1M tokens)</t>
  </si>
  <si>
    <t>Avg Input Tokens/Call</t>
  </si>
  <si>
    <t>Avg Output Tokens/Call</t>
  </si>
  <si>
    <t>Calls Per Event</t>
  </si>
  <si>
    <t>Cost Per Event ($)</t>
  </si>
  <si>
    <t>Cost @ 50 Events/Mo ($)</t>
  </si>
  <si>
    <t>Cost @ 250 Events/Mo ($)</t>
  </si>
  <si>
    <t>GPT-4o</t>
  </si>
  <si>
    <t>GPT-4o-mini</t>
  </si>
  <si>
    <t>Whisper (audio)</t>
  </si>
  <si>
    <t>Gemini 2.5 Flash (fallback)</t>
  </si>
  <si>
    <t>Area</t>
  </si>
  <si>
    <t>Current Cost Driver</t>
  </si>
  <si>
    <t>Optimization Strategy</t>
  </si>
  <si>
    <t>Potential Savings</t>
  </si>
  <si>
    <t>Effort</t>
  </si>
  <si>
    <t>Recall.ai Bot Minutes</t>
  </si>
  <si>
    <t>~58% of per-event cost ($6.00/event for 60min)</t>
  </si>
  <si>
    <t>Negotiate volume pricing; local audio capture for &lt;30min events; batch scheduling</t>
  </si>
  <si>
    <t>30-50% on bot costs</t>
  </si>
  <si>
    <t>Medium</t>
  </si>
  <si>
    <t>GPT-4o Model Usage</t>
  </si>
  <si>
    <t>25 calls/event at $2.50/event</t>
  </si>
  <si>
    <t>Move 10 lower-priority modules (social media, press release, etc.) to GPT-4o-mini</t>
  </si>
  <si>
    <t>~40% on AI costs</t>
  </si>
  <si>
    <t>Low</t>
  </si>
  <si>
    <t>Report Caching</t>
  </si>
  <si>
    <t>Regenerating reports on repeat queries</t>
  </si>
  <si>
    <t>Cache AI reports after first generation; serve cached version for subsequent views</t>
  </si>
  <si>
    <t>~$0.50/repeat query</t>
  </si>
  <si>
    <t>Whisper Transcription</t>
  </si>
  <si>
    <t>$0.006/min — 30min avg per archive</t>
  </si>
  <si>
    <t>Skip re-transcription of already-processed segments; use cheaper models for draft</t>
  </si>
  <si>
    <t>20-30% on whisper</t>
  </si>
  <si>
    <t>Mux Streaming</t>
  </si>
  <si>
    <t>$1.50/event for encode + delivery</t>
  </si>
  <si>
    <t>Use Mux only for public webcasts; skip for internal-only Shadow Mode sessions</t>
  </si>
  <si>
    <t>Up to 100% for non-webcast</t>
  </si>
  <si>
    <t>Ably Messaging</t>
  </si>
  <si>
    <t>Currently free tier (6M msg/mo)</t>
  </si>
  <si>
    <t>Monitor usage — at scale, switch to self-hosted WebSocket if Ably costs increase</t>
  </si>
  <si>
    <t>Prevent future $29+/mo</t>
  </si>
  <si>
    <t>High</t>
  </si>
  <si>
    <t>Advisory Bot Queries</t>
  </si>
  <si>
    <t>$0.03/query — can scale with users</t>
  </si>
  <si>
    <t>Use GPT-4o-mini for initial response; escalate to GPT-4o only for complex queries</t>
  </si>
  <si>
    <t>~80% per query</t>
  </si>
  <si>
    <t>Currently negligible cost</t>
  </si>
  <si>
    <t>Pre-aggregate metrics daily; reduce token window for monthly synthesis</t>
  </si>
  <si>
    <t>Minimal — already low</t>
  </si>
  <si>
    <t>Month</t>
  </si>
  <si>
    <t>Monthly Cost ($)</t>
  </si>
  <si>
    <t>Cumulative ($)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</si>
  <si>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</si>
  <si>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</si>
  <si>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</si>
  <si>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</si>
  <si>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</si>
  <si>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</si>
  <si>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</si>
  <si>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</si>
  <si>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</si>
  <si>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</si>
  <si>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</si>
  <si>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</si>
  <si>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ANNUAL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</si>
</sst>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FFe2e8f0"/>
      <sz val="11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1a1f2e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0" fillId="0" borderId="1" xfId="0" applyBorder="1"/>
    <xf numFmtId="0" fontId="2" fillId="0" borderId="1" xfId="0" applyFont="1" applyBorder="1"/>
    <xf numFmtId="164" fontId="2" fillId="0" borderId="1" xfId="0" applyNumberFormat="1" applyFont="1" applyBorder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3" fillId="0" borderId="1" xfId="0" applyFont="1" applyBorder="1"/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0a5fa"/>
  </sheetPr>
  <dimension ref="A1:G18"/>
  <sheetFormatPr defaultRowHeight="15" outlineLevelRow="0" outlineLevelCol="0" x14ac:dyDescent="55"/>
  <cols>
    <col min="1" max="1" width="28" customWidth="1"/>
    <col min="2" max="2" width="18" customWidth="1"/>
    <col min="3" max="3" width="45" customWidth="1"/>
    <col min="4" max="4" width="20" customWidth="1"/>
    <col min="5" max="5" width="18" customWidth="1"/>
    <col min="6" max="6" width="16" customWidth="1"/>
    <col min="7" max="7" width="20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25</v>
      </c>
      <c r="G2" s="3">
        <v>0</v>
      </c>
    </row>
    <row r="3" spans="1:7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3">
        <v>15</v>
      </c>
      <c r="G3" s="3">
        <v>0</v>
      </c>
    </row>
    <row r="4" spans="1:7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3">
        <v>0</v>
      </c>
      <c r="G4" s="3">
        <v>2.5</v>
      </c>
    </row>
    <row r="5" spans="1:7" x14ac:dyDescent="0.25">
      <c r="A5" s="2" t="s">
        <v>22</v>
      </c>
      <c r="B5" s="2" t="s">
        <v>18</v>
      </c>
      <c r="C5" s="2" t="s">
        <v>23</v>
      </c>
      <c r="D5" s="2" t="s">
        <v>20</v>
      </c>
      <c r="E5" s="2" t="s">
        <v>21</v>
      </c>
      <c r="F5" s="3">
        <v>0</v>
      </c>
      <c r="G5" s="3">
        <v>0.05</v>
      </c>
    </row>
    <row r="6" spans="1:7" x14ac:dyDescent="0.25">
      <c r="A6" s="2" t="s">
        <v>24</v>
      </c>
      <c r="B6" s="2" t="s">
        <v>25</v>
      </c>
      <c r="C6" s="2" t="s">
        <v>26</v>
      </c>
      <c r="D6" s="2" t="s">
        <v>20</v>
      </c>
      <c r="E6" s="2" t="s">
        <v>27</v>
      </c>
      <c r="F6" s="3">
        <v>0</v>
      </c>
      <c r="G6" s="3">
        <v>0.18</v>
      </c>
    </row>
    <row r="7" spans="1:7" x14ac:dyDescent="0.25">
      <c r="A7" s="2" t="s">
        <v>28</v>
      </c>
      <c r="B7" s="2" t="s">
        <v>29</v>
      </c>
      <c r="C7" s="2" t="s">
        <v>30</v>
      </c>
      <c r="D7" s="2" t="s">
        <v>20</v>
      </c>
      <c r="E7" s="2" t="s">
        <v>27</v>
      </c>
      <c r="F7" s="3">
        <v>0</v>
      </c>
      <c r="G7" s="3">
        <v>6</v>
      </c>
    </row>
    <row r="8" spans="1:7" x14ac:dyDescent="0.25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3">
        <v>0</v>
      </c>
      <c r="G8" s="3">
        <v>0</v>
      </c>
    </row>
    <row r="9" spans="1:7" x14ac:dyDescent="0.25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3">
        <v>0</v>
      </c>
      <c r="G9" s="3">
        <v>0</v>
      </c>
    </row>
    <row r="10" spans="1:7" x14ac:dyDescent="0.2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27</v>
      </c>
      <c r="F10" s="3">
        <v>1</v>
      </c>
      <c r="G10" s="3">
        <v>0.21</v>
      </c>
    </row>
    <row r="11" spans="1:7" x14ac:dyDescent="0.25">
      <c r="A11" s="2" t="s">
        <v>45</v>
      </c>
      <c r="B11" s="2" t="s">
        <v>42</v>
      </c>
      <c r="C11" s="2" t="s">
        <v>46</v>
      </c>
      <c r="D11" s="2" t="s">
        <v>44</v>
      </c>
      <c r="E11" s="2" t="s">
        <v>27</v>
      </c>
      <c r="F11" s="3">
        <v>0</v>
      </c>
      <c r="G11" s="3">
        <v>0.15</v>
      </c>
    </row>
    <row r="12" spans="1:7" x14ac:dyDescent="0.25">
      <c r="A12" s="2" t="s">
        <v>47</v>
      </c>
      <c r="B12" s="2" t="s">
        <v>48</v>
      </c>
      <c r="C12" s="2" t="s">
        <v>49</v>
      </c>
      <c r="D12" s="2" t="s">
        <v>44</v>
      </c>
      <c r="E12" s="2" t="s">
        <v>50</v>
      </c>
      <c r="F12" s="3">
        <v>0</v>
      </c>
      <c r="G12" s="3">
        <v>1.5</v>
      </c>
    </row>
    <row r="13" spans="1:7" x14ac:dyDescent="0.2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55</v>
      </c>
      <c r="F13" s="3">
        <v>0</v>
      </c>
      <c r="G13" s="3">
        <v>0</v>
      </c>
    </row>
    <row r="14" spans="1:7" x14ac:dyDescent="0.25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11</v>
      </c>
      <c r="F14" s="3">
        <v>0</v>
      </c>
      <c r="G14" s="3">
        <v>0</v>
      </c>
    </row>
    <row r="15" spans="1:7" x14ac:dyDescent="0.2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64</v>
      </c>
      <c r="F15" s="3">
        <v>0</v>
      </c>
      <c r="G15" s="3">
        <v>0</v>
      </c>
    </row>
    <row r="16" spans="1:7" x14ac:dyDescent="0.25">
      <c r="A16" s="2" t="s">
        <v>65</v>
      </c>
      <c r="B16" s="2" t="s">
        <v>61</v>
      </c>
      <c r="C16" s="2" t="s">
        <v>66</v>
      </c>
      <c r="D16" s="2" t="s">
        <v>63</v>
      </c>
      <c r="E16" s="2" t="s">
        <v>64</v>
      </c>
      <c r="F16" s="3">
        <v>0</v>
      </c>
      <c r="G16" s="3">
        <v>0</v>
      </c>
    </row>
    <row r="17" spans="1:7" x14ac:dyDescent="0.25">
      <c r="A17" s="4" t="s">
        <v>67</v>
      </c>
      <c r="B17" s="4" t="s">
        <v>67</v>
      </c>
      <c r="C17" s="4" t="s">
        <v>67</v>
      </c>
      <c r="D17" s="4" t="s">
        <v>67</v>
      </c>
      <c r="E17" s="5" t="s">
        <v>68</v>
      </c>
      <c r="F17" s="6">
        <f>SUM(F2:F16)</f>
      </c>
      <c r="G17" s="4" t="s">
        <v>67</v>
      </c>
    </row>
    <row r="18" spans="1:7" x14ac:dyDescent="0.25">
      <c r="A18" s="4" t="s">
        <v>67</v>
      </c>
      <c r="B18" s="4" t="s">
        <v>67</v>
      </c>
      <c r="C18" s="4" t="s">
        <v>67</v>
      </c>
      <c r="D18" s="4" t="s">
        <v>67</v>
      </c>
      <c r="E18" s="5" t="s">
        <v>69</v>
      </c>
      <c r="F18" s="4" t="s">
        <v>67</v>
      </c>
      <c r="G18" s="6">
        <f>SUM(G2:G16)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d399"/>
  </sheetPr>
  <dimension ref="A1:I7"/>
  <sheetFormatPr defaultRowHeight="15" outlineLevelRow="0" outlineLevelCol="0" x14ac:dyDescent="55"/>
  <cols>
    <col min="1" max="1" width="32" customWidth="1"/>
    <col min="2" max="2" width="55" customWidth="1"/>
    <col min="3" max="3" width="14" customWidth="1"/>
    <col min="4" max="4" width="16" customWidth="1"/>
    <col min="5" max="5" width="14" customWidth="1"/>
    <col min="6" max="6" width="12" customWidth="1"/>
    <col min="7" max="8" width="10" customWidth="1"/>
    <col min="9" max="9" width="18" customWidth="1"/>
  </cols>
  <sheetData>
    <row r="1" ht="22" customHeight="1" spans="1:9" x14ac:dyDescent="0.2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</row>
    <row r="2" spans="1:9" x14ac:dyDescent="0.25">
      <c r="A2" s="2" t="s">
        <v>79</v>
      </c>
      <c r="B2" s="2" t="s">
        <v>80</v>
      </c>
      <c r="C2" s="3">
        <v>6</v>
      </c>
      <c r="D2" s="3">
        <v>2.5</v>
      </c>
      <c r="E2" s="3">
        <v>0.05</v>
      </c>
      <c r="F2" s="3">
        <v>0</v>
      </c>
      <c r="G2" s="3">
        <v>1.5</v>
      </c>
      <c r="H2" s="3">
        <v>0.21</v>
      </c>
      <c r="I2" s="3">
        <v>10.26</v>
      </c>
    </row>
    <row r="3" spans="1:9" x14ac:dyDescent="0.25">
      <c r="A3" s="2" t="s">
        <v>81</v>
      </c>
      <c r="B3" s="2" t="s">
        <v>82</v>
      </c>
      <c r="C3" s="3">
        <v>0</v>
      </c>
      <c r="D3" s="3">
        <v>2.5</v>
      </c>
      <c r="E3" s="3">
        <v>0.05</v>
      </c>
      <c r="F3" s="3">
        <v>0.18</v>
      </c>
      <c r="G3" s="3">
        <v>0</v>
      </c>
      <c r="H3" s="3">
        <v>0</v>
      </c>
      <c r="I3" s="3">
        <v>2.73</v>
      </c>
    </row>
    <row r="4" spans="1:9" x14ac:dyDescent="0.25">
      <c r="A4" s="2" t="s">
        <v>83</v>
      </c>
      <c r="B4" s="2" t="s">
        <v>84</v>
      </c>
      <c r="C4" s="3">
        <v>0</v>
      </c>
      <c r="D4" s="3">
        <v>2.5</v>
      </c>
      <c r="E4" s="3">
        <v>0.05</v>
      </c>
      <c r="F4" s="3">
        <v>0</v>
      </c>
      <c r="G4" s="3">
        <v>0</v>
      </c>
      <c r="H4" s="3">
        <v>0</v>
      </c>
      <c r="I4" s="3">
        <v>2.55</v>
      </c>
    </row>
    <row r="5" spans="1:9" x14ac:dyDescent="0.25">
      <c r="A5" s="2" t="s">
        <v>85</v>
      </c>
      <c r="B5" s="2" t="s">
        <v>86</v>
      </c>
      <c r="C5" s="3">
        <v>0</v>
      </c>
      <c r="D5" s="3">
        <v>0.03</v>
      </c>
      <c r="E5" s="3">
        <v>0</v>
      </c>
      <c r="F5" s="3">
        <v>0</v>
      </c>
      <c r="G5" s="3">
        <v>0</v>
      </c>
      <c r="H5" s="3">
        <v>0</v>
      </c>
      <c r="I5" s="3">
        <v>0.03</v>
      </c>
    </row>
    <row r="6" spans="1:9" x14ac:dyDescent="0.25">
      <c r="A6" s="2" t="s">
        <v>87</v>
      </c>
      <c r="B6" s="2" t="s">
        <v>88</v>
      </c>
      <c r="C6" s="3">
        <v>0</v>
      </c>
      <c r="D6" s="3">
        <v>0.15</v>
      </c>
      <c r="E6" s="3">
        <v>0</v>
      </c>
      <c r="F6" s="3">
        <v>0</v>
      </c>
      <c r="G6" s="3">
        <v>0</v>
      </c>
      <c r="H6" s="3">
        <v>0</v>
      </c>
      <c r="I6" s="3">
        <v>0.15</v>
      </c>
    </row>
    <row r="7" spans="1:9" x14ac:dyDescent="0.25">
      <c r="A7" s="2" t="s">
        <v>89</v>
      </c>
      <c r="B7" s="2" t="s">
        <v>90</v>
      </c>
      <c r="C7" s="3">
        <v>0</v>
      </c>
      <c r="D7" s="3">
        <v>0</v>
      </c>
      <c r="E7" s="3">
        <v>0.02</v>
      </c>
      <c r="F7" s="3">
        <v>0</v>
      </c>
      <c r="G7" s="3">
        <v>0</v>
      </c>
      <c r="H7" s="3">
        <v>0</v>
      </c>
      <c r="I7" s="3">
        <v>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bf24"/>
  </sheetPr>
  <dimension ref="A1:L6"/>
  <sheetFormatPr defaultRowHeight="15" outlineLevelRow="0" outlineLevelCol="0" x14ac:dyDescent="55"/>
  <cols>
    <col min="1" max="1" width="18" customWidth="1"/>
    <col min="2" max="2" width="14" customWidth="1"/>
    <col min="3" max="5" width="16" customWidth="1"/>
    <col min="6" max="9" width="14" customWidth="1"/>
    <col min="10" max="11" width="12" customWidth="1"/>
    <col min="12" max="12" width="18" customWidth="1"/>
  </cols>
  <sheetData>
    <row r="1" ht="22" customHeight="1" spans="1:12" x14ac:dyDescent="0.25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72</v>
      </c>
      <c r="I1" s="1" t="s">
        <v>98</v>
      </c>
      <c r="J1" s="1" t="s">
        <v>76</v>
      </c>
      <c r="K1" s="1" t="s">
        <v>77</v>
      </c>
      <c r="L1" s="1" t="s">
        <v>99</v>
      </c>
    </row>
    <row r="2" spans="1:12" x14ac:dyDescent="0.25">
      <c r="A2" s="7" t="s">
        <v>100</v>
      </c>
      <c r="B2" s="7">
        <v>10</v>
      </c>
      <c r="C2" s="7">
        <v>5</v>
      </c>
      <c r="D2" s="7">
        <v>5</v>
      </c>
      <c r="E2" s="7">
        <v>50</v>
      </c>
      <c r="F2" s="7">
        <v>1</v>
      </c>
      <c r="G2" s="8">
        <v>41</v>
      </c>
      <c r="H2" s="8">
        <v>60</v>
      </c>
      <c r="I2" s="8">
        <v>53.55</v>
      </c>
      <c r="J2" s="8">
        <v>15</v>
      </c>
      <c r="K2" s="8">
        <v>3.1</v>
      </c>
      <c r="L2" s="9">
        <v>172.65</v>
      </c>
    </row>
    <row r="3" spans="1:12" x14ac:dyDescent="0.25">
      <c r="A3" s="7" t="s">
        <v>101</v>
      </c>
      <c r="B3" s="7">
        <v>25</v>
      </c>
      <c r="C3" s="7">
        <v>15</v>
      </c>
      <c r="D3" s="7">
        <v>10</v>
      </c>
      <c r="E3" s="7">
        <v>200</v>
      </c>
      <c r="F3" s="7">
        <v>1</v>
      </c>
      <c r="G3" s="8">
        <v>41</v>
      </c>
      <c r="H3" s="8">
        <v>150</v>
      </c>
      <c r="I3" s="8">
        <v>136.35</v>
      </c>
      <c r="J3" s="8">
        <v>37.5</v>
      </c>
      <c r="K3" s="8">
        <v>6.25</v>
      </c>
      <c r="L3" s="9">
        <v>371.1</v>
      </c>
    </row>
    <row r="4" spans="1:12" x14ac:dyDescent="0.25">
      <c r="A4" s="7" t="s">
        <v>102</v>
      </c>
      <c r="B4" s="7">
        <v>50</v>
      </c>
      <c r="C4" s="7">
        <v>30</v>
      </c>
      <c r="D4" s="7">
        <v>20</v>
      </c>
      <c r="E4" s="7">
        <v>500</v>
      </c>
      <c r="F4" s="7">
        <v>2</v>
      </c>
      <c r="G4" s="8">
        <v>41</v>
      </c>
      <c r="H4" s="8">
        <v>300</v>
      </c>
      <c r="I4" s="8">
        <v>275.7</v>
      </c>
      <c r="J4" s="8">
        <v>75</v>
      </c>
      <c r="K4" s="8">
        <v>11.5</v>
      </c>
      <c r="L4" s="9">
        <v>703.2</v>
      </c>
    </row>
    <row r="5" spans="1:12" x14ac:dyDescent="0.25">
      <c r="A5" s="7" t="s">
        <v>103</v>
      </c>
      <c r="B5" s="7">
        <v>120</v>
      </c>
      <c r="C5" s="7">
        <v>80</v>
      </c>
      <c r="D5" s="7">
        <v>50</v>
      </c>
      <c r="E5" s="7">
        <v>2000</v>
      </c>
      <c r="F5" s="7">
        <v>4</v>
      </c>
      <c r="G5" s="8">
        <v>41</v>
      </c>
      <c r="H5" s="8">
        <v>720</v>
      </c>
      <c r="I5" s="8">
        <v>712.5</v>
      </c>
      <c r="J5" s="8">
        <v>180</v>
      </c>
      <c r="K5" s="8">
        <v>26.2</v>
      </c>
      <c r="L5" s="9">
        <v>1679.7</v>
      </c>
    </row>
    <row r="6" spans="1:12" x14ac:dyDescent="0.25">
      <c r="A6" s="7" t="s">
        <v>104</v>
      </c>
      <c r="B6" s="7">
        <v>250</v>
      </c>
      <c r="C6" s="7">
        <v>150</v>
      </c>
      <c r="D6" s="7">
        <v>100</v>
      </c>
      <c r="E6" s="7">
        <v>5000</v>
      </c>
      <c r="F6" s="7">
        <v>8</v>
      </c>
      <c r="G6" s="8">
        <v>41</v>
      </c>
      <c r="H6" s="8">
        <v>1500</v>
      </c>
      <c r="I6" s="8">
        <v>1453.2</v>
      </c>
      <c r="J6" s="8">
        <v>375</v>
      </c>
      <c r="K6" s="8">
        <v>53.5</v>
      </c>
      <c r="L6" s="9">
        <v>3422.7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78bfa"/>
  </sheetPr>
  <dimension ref="A1:I5"/>
  <sheetFormatPr defaultRowHeight="15" outlineLevelRow="0" outlineLevelCol="0" x14ac:dyDescent="55"/>
  <cols>
    <col min="1" max="3" width="22" customWidth="1"/>
    <col min="4" max="5" width="20" customWidth="1"/>
    <col min="6" max="7" width="16" customWidth="1"/>
    <col min="8" max="8" width="20" customWidth="1"/>
    <col min="9" max="9" width="22" customWidth="1"/>
  </cols>
  <sheetData>
    <row r="1" ht="22" customHeight="1" spans="1:9" x14ac:dyDescent="0.2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</row>
    <row r="2" spans="1:9" x14ac:dyDescent="0.25">
      <c r="A2" s="7" t="s">
        <v>114</v>
      </c>
      <c r="B2" s="8">
        <v>2.5</v>
      </c>
      <c r="C2" s="8">
        <v>10</v>
      </c>
      <c r="D2" s="7">
        <v>4000</v>
      </c>
      <c r="E2" s="7">
        <v>1500</v>
      </c>
      <c r="F2" s="7">
        <v>25</v>
      </c>
      <c r="G2" s="8">
        <v>2.5</v>
      </c>
      <c r="H2" s="8">
        <v>125</v>
      </c>
      <c r="I2" s="8">
        <v>625</v>
      </c>
    </row>
    <row r="3" spans="1:9" x14ac:dyDescent="0.25">
      <c r="A3" s="7" t="s">
        <v>115</v>
      </c>
      <c r="B3" s="8">
        <v>0.15</v>
      </c>
      <c r="C3" s="8">
        <v>0.6</v>
      </c>
      <c r="D3" s="7">
        <v>2000</v>
      </c>
      <c r="E3" s="7">
        <v>800</v>
      </c>
      <c r="F3" s="7">
        <v>15</v>
      </c>
      <c r="G3" s="8">
        <v>0.05</v>
      </c>
      <c r="H3" s="8">
        <v>2.5</v>
      </c>
      <c r="I3" s="8">
        <v>12.5</v>
      </c>
    </row>
    <row r="4" spans="1:9" x14ac:dyDescent="0.25">
      <c r="A4" s="7" t="s">
        <v>116</v>
      </c>
      <c r="B4" s="8">
        <v>0</v>
      </c>
      <c r="C4" s="8">
        <v>0</v>
      </c>
      <c r="D4" s="7">
        <v>0</v>
      </c>
      <c r="E4" s="7">
        <v>0</v>
      </c>
      <c r="F4" s="7">
        <v>1</v>
      </c>
      <c r="G4" s="8">
        <v>0.18</v>
      </c>
      <c r="H4" s="8">
        <v>9</v>
      </c>
      <c r="I4" s="8">
        <v>45</v>
      </c>
    </row>
    <row r="5" spans="1:9" x14ac:dyDescent="0.25">
      <c r="A5" s="7" t="s">
        <v>117</v>
      </c>
      <c r="B5" s="8">
        <v>0.15</v>
      </c>
      <c r="C5" s="8">
        <v>0.6</v>
      </c>
      <c r="D5" s="7">
        <v>3000</v>
      </c>
      <c r="E5" s="7">
        <v>1000</v>
      </c>
      <c r="F5" s="7">
        <v>0</v>
      </c>
      <c r="G5" s="8">
        <v>0</v>
      </c>
      <c r="H5" s="8">
        <v>0</v>
      </c>
      <c r="I5" s="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87171"/>
  </sheetPr>
  <dimension ref="A1:E9"/>
  <sheetFormatPr defaultRowHeight="15" outlineLevelRow="0" outlineLevelCol="0" x14ac:dyDescent="55"/>
  <cols>
    <col min="1" max="1" width="24" customWidth="1"/>
    <col min="2" max="2" width="40" customWidth="1"/>
    <col min="3" max="3" width="50" customWidth="1"/>
    <col min="4" max="4" width="20" customWidth="1"/>
    <col min="5" max="5" width="14" customWidth="1"/>
  </cols>
  <sheetData>
    <row r="1" ht="22" customHeight="1" spans="1:5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</row>
    <row r="2" spans="1:5" x14ac:dyDescent="0.25">
      <c r="A2" s="2" t="s">
        <v>123</v>
      </c>
      <c r="B2" s="2" t="s">
        <v>124</v>
      </c>
      <c r="C2" s="2" t="s">
        <v>125</v>
      </c>
      <c r="D2" s="2" t="s">
        <v>126</v>
      </c>
      <c r="E2" s="2" t="s">
        <v>127</v>
      </c>
    </row>
    <row r="3" spans="1:5" x14ac:dyDescent="0.25">
      <c r="A3" s="2" t="s">
        <v>128</v>
      </c>
      <c r="B3" s="2" t="s">
        <v>129</v>
      </c>
      <c r="C3" s="2" t="s">
        <v>130</v>
      </c>
      <c r="D3" s="2" t="s">
        <v>131</v>
      </c>
      <c r="E3" s="2" t="s">
        <v>132</v>
      </c>
    </row>
    <row r="4" spans="1:5" x14ac:dyDescent="0.25">
      <c r="A4" s="2" t="s">
        <v>133</v>
      </c>
      <c r="B4" s="2" t="s">
        <v>134</v>
      </c>
      <c r="C4" s="2" t="s">
        <v>135</v>
      </c>
      <c r="D4" s="2" t="s">
        <v>136</v>
      </c>
      <c r="E4" s="2" t="s">
        <v>132</v>
      </c>
    </row>
    <row r="5" spans="1:5" x14ac:dyDescent="0.25">
      <c r="A5" s="2" t="s">
        <v>137</v>
      </c>
      <c r="B5" s="2" t="s">
        <v>138</v>
      </c>
      <c r="C5" s="2" t="s">
        <v>139</v>
      </c>
      <c r="D5" s="2" t="s">
        <v>140</v>
      </c>
      <c r="E5" s="2" t="s">
        <v>132</v>
      </c>
    </row>
    <row r="6" spans="1:5" x14ac:dyDescent="0.25">
      <c r="A6" s="2" t="s">
        <v>141</v>
      </c>
      <c r="B6" s="2" t="s">
        <v>142</v>
      </c>
      <c r="C6" s="2" t="s">
        <v>143</v>
      </c>
      <c r="D6" s="2" t="s">
        <v>144</v>
      </c>
      <c r="E6" s="2" t="s">
        <v>132</v>
      </c>
    </row>
    <row r="7" spans="1:5" x14ac:dyDescent="0.25">
      <c r="A7" s="2" t="s">
        <v>145</v>
      </c>
      <c r="B7" s="2" t="s">
        <v>146</v>
      </c>
      <c r="C7" s="2" t="s">
        <v>147</v>
      </c>
      <c r="D7" s="2" t="s">
        <v>148</v>
      </c>
      <c r="E7" s="2" t="s">
        <v>149</v>
      </c>
    </row>
    <row r="8" spans="1:5" x14ac:dyDescent="0.25">
      <c r="A8" s="2" t="s">
        <v>150</v>
      </c>
      <c r="B8" s="2" t="s">
        <v>151</v>
      </c>
      <c r="C8" s="2" t="s">
        <v>152</v>
      </c>
      <c r="D8" s="2" t="s">
        <v>153</v>
      </c>
      <c r="E8" s="2" t="s">
        <v>132</v>
      </c>
    </row>
    <row r="9" spans="1:5" x14ac:dyDescent="0.25">
      <c r="A9" s="2" t="s">
        <v>96</v>
      </c>
      <c r="B9" s="2" t="s">
        <v>154</v>
      </c>
      <c r="C9" s="2" t="s">
        <v>155</v>
      </c>
      <c r="D9" s="2" t="s">
        <v>156</v>
      </c>
      <c r="E9" s="2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F14"/>
  <sheetFormatPr defaultRowHeight="15" outlineLevelRow="0" outlineLevelCol="0" x14ac:dyDescent="55"/>
  <cols>
    <col min="1" max="2" width="14" customWidth="1"/>
    <col min="3" max="6" width="16" customWidth="1"/>
  </cols>
  <sheetData>
    <row r="1" ht="22" customHeight="1" spans="1:6" x14ac:dyDescent="0.25">
      <c r="A1" s="1" t="s">
        <v>157</v>
      </c>
      <c r="B1" s="1" t="s">
        <v>92</v>
      </c>
      <c r="C1" s="1" t="s">
        <v>93</v>
      </c>
      <c r="D1" s="1" t="s">
        <v>95</v>
      </c>
      <c r="E1" s="1" t="s">
        <v>158</v>
      </c>
      <c r="F1" s="1" t="s">
        <v>159</v>
      </c>
    </row>
    <row r="2" spans="1:6" x14ac:dyDescent="0.25">
      <c r="A2" s="7" t="s">
        <v>160</v>
      </c>
      <c r="B2" s="7">
        <v>10</v>
      </c>
      <c r="C2" s="7">
        <v>5</v>
      </c>
      <c r="D2" s="7">
        <v>50</v>
      </c>
      <c r="E2" s="8">
        <v>172.5</v>
      </c>
      <c r="F2" s="8">
        <v>172.5</v>
      </c>
    </row>
    <row r="3" spans="1:6" x14ac:dyDescent="0.25">
      <c r="A3" s="7" t="s">
        <v>161</v>
      </c>
      <c r="B3" s="7">
        <v>12</v>
      </c>
      <c r="C3" s="7">
        <v>6</v>
      </c>
      <c r="D3" s="7">
        <v>57</v>
      </c>
      <c r="E3" s="8">
        <v>198.51000000000002</v>
      </c>
      <c r="F3" s="8">
        <v>371.01</v>
      </c>
    </row>
    <row r="4" spans="1:6" x14ac:dyDescent="0.25">
      <c r="A4" s="7" t="s">
        <v>162</v>
      </c>
      <c r="B4" s="7">
        <v>13</v>
      </c>
      <c r="C4" s="7">
        <v>7</v>
      </c>
      <c r="D4" s="7">
        <v>65</v>
      </c>
      <c r="E4" s="8">
        <v>214.29</v>
      </c>
      <c r="F4" s="8">
        <v>585.3</v>
      </c>
    </row>
    <row r="5" spans="1:6" x14ac:dyDescent="0.25">
      <c r="A5" s="7" t="s">
        <v>163</v>
      </c>
      <c r="B5" s="7">
        <v>15</v>
      </c>
      <c r="C5" s="7">
        <v>7</v>
      </c>
      <c r="D5" s="7">
        <v>73</v>
      </c>
      <c r="E5" s="8">
        <v>235.04999999999998</v>
      </c>
      <c r="F5" s="8">
        <v>820.3499999999999</v>
      </c>
    </row>
    <row r="6" spans="1:6" x14ac:dyDescent="0.25">
      <c r="A6" s="7" t="s">
        <v>164</v>
      </c>
      <c r="B6" s="7">
        <v>16</v>
      </c>
      <c r="C6" s="7">
        <v>8</v>
      </c>
      <c r="D6" s="7">
        <v>80</v>
      </c>
      <c r="E6" s="8">
        <v>250.8</v>
      </c>
      <c r="F6" s="8">
        <v>1071.1499999999999</v>
      </c>
    </row>
    <row r="7" spans="1:6" x14ac:dyDescent="0.25">
      <c r="A7" s="7" t="s">
        <v>165</v>
      </c>
      <c r="B7" s="7">
        <v>18</v>
      </c>
      <c r="C7" s="7">
        <v>9</v>
      </c>
      <c r="D7" s="7">
        <v>88</v>
      </c>
      <c r="E7" s="8">
        <v>276.84</v>
      </c>
      <c r="F7" s="8">
        <v>1347.9899999999998</v>
      </c>
    </row>
    <row r="8" spans="1:6" x14ac:dyDescent="0.25">
      <c r="A8" s="7" t="s">
        <v>166</v>
      </c>
      <c r="B8" s="7">
        <v>19</v>
      </c>
      <c r="C8" s="7">
        <v>10</v>
      </c>
      <c r="D8" s="7">
        <v>95</v>
      </c>
      <c r="E8" s="8">
        <v>292.59</v>
      </c>
      <c r="F8" s="8">
        <v>1640.5799999999997</v>
      </c>
    </row>
    <row r="9" spans="1:6" x14ac:dyDescent="0.25">
      <c r="A9" s="7" t="s">
        <v>167</v>
      </c>
      <c r="B9" s="7">
        <v>21</v>
      </c>
      <c r="C9" s="7">
        <v>10</v>
      </c>
      <c r="D9" s="7">
        <v>102</v>
      </c>
      <c r="E9" s="8">
        <v>313.32</v>
      </c>
      <c r="F9" s="8">
        <v>1953.8999999999996</v>
      </c>
    </row>
    <row r="10" spans="1:6" x14ac:dyDescent="0.25">
      <c r="A10" s="7" t="s">
        <v>168</v>
      </c>
      <c r="B10" s="7">
        <v>22</v>
      </c>
      <c r="C10" s="7">
        <v>11</v>
      </c>
      <c r="D10" s="7">
        <v>110</v>
      </c>
      <c r="E10" s="8">
        <v>329.1</v>
      </c>
      <c r="F10" s="8">
        <v>2282.9999999999995</v>
      </c>
    </row>
    <row r="11" spans="1:6" x14ac:dyDescent="0.25">
      <c r="A11" s="7" t="s">
        <v>169</v>
      </c>
      <c r="B11" s="7">
        <v>23</v>
      </c>
      <c r="C11" s="7">
        <v>12</v>
      </c>
      <c r="D11" s="7">
        <v>117</v>
      </c>
      <c r="E11" s="8">
        <v>344.84999999999997</v>
      </c>
      <c r="F11" s="8">
        <v>2627.8499999999995</v>
      </c>
    </row>
    <row r="12" spans="1:6" x14ac:dyDescent="0.25">
      <c r="A12" s="7" t="s">
        <v>170</v>
      </c>
      <c r="B12" s="7">
        <v>25</v>
      </c>
      <c r="C12" s="7">
        <v>13</v>
      </c>
      <c r="D12" s="7">
        <v>125</v>
      </c>
      <c r="E12" s="8">
        <v>370.89</v>
      </c>
      <c r="F12" s="8">
        <v>2998.7399999999993</v>
      </c>
    </row>
    <row r="13" spans="1:6" x14ac:dyDescent="0.25">
      <c r="A13" s="7" t="s">
        <v>171</v>
      </c>
      <c r="B13" s="7">
        <v>27</v>
      </c>
      <c r="C13" s="7">
        <v>13</v>
      </c>
      <c r="D13" s="7">
        <v>133</v>
      </c>
      <c r="E13" s="8">
        <v>391.65000000000003</v>
      </c>
      <c r="F13" s="8">
        <v>3390.3899999999994</v>
      </c>
    </row>
    <row r="14" spans="1:6" x14ac:dyDescent="0.25">
      <c r="A14" s="10" t="s">
        <v>172</v>
      </c>
      <c r="B14" s="4" t="s">
        <v>67</v>
      </c>
      <c r="C14" s="4" t="s">
        <v>67</v>
      </c>
      <c r="D14" s="4" t="s">
        <v>67</v>
      </c>
      <c r="E14" s="4" t="s">
        <v>67</v>
      </c>
      <c r="F14" s="11">
        <v>3390.3899999999994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 Overview</vt:lpstr>
      <vt:lpstr>Cost by Event Type</vt:lpstr>
      <vt:lpstr>Monthly Projections</vt:lpstr>
      <vt:lpstr>OpenAI Token Details</vt:lpstr>
      <vt:lpstr>Optimization</vt:lpstr>
      <vt:lpstr>Annual Projection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CuraLive Platform</dc:creator>
  <dc:title/>
  <dc:subject/>
  <dc:description/>
  <cp:keywords/>
  <cp:category/>
  <cp:lastModifiedBy>Unknown</cp:lastModifiedBy>
  <dcterms:created xsi:type="dcterms:W3CDTF">2026-03-20T03:52:27Z</dcterms:created>
  <dcterms:modified xsi:type="dcterms:W3CDTF">2026-03-20T03:52:27Z</dcterms:modified>
</cp:coreProperties>
</file>