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DCameron\OneDrive\Documents\"/>
    </mc:Choice>
  </mc:AlternateContent>
  <xr:revisionPtr revIDLastSave="0" documentId="8_{A4A8F437-6022-48E5-94BF-FC0662B2CA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rtup &amp; Operating Expenses" sheetId="1" r:id="rId1"/>
    <sheet name="Infrastructure Components" sheetId="2" r:id="rId2"/>
    <sheet name="Monthly Breakdow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3" i="3" l="1"/>
  <c r="H23" i="3"/>
  <c r="G23" i="3"/>
  <c r="F23" i="3"/>
  <c r="E23" i="3"/>
  <c r="D23" i="3"/>
  <c r="C23" i="3"/>
  <c r="B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K7" i="3" s="1"/>
  <c r="K8" i="3" s="1"/>
  <c r="K9" i="3" s="1"/>
  <c r="K10" i="3" s="1"/>
  <c r="K6" i="3"/>
  <c r="J6" i="3"/>
  <c r="K5" i="3"/>
  <c r="J5" i="3"/>
  <c r="E15" i="2"/>
  <c r="D15" i="2"/>
  <c r="C15" i="2"/>
  <c r="B15" i="2"/>
  <c r="F14" i="2"/>
  <c r="F13" i="2"/>
  <c r="F12" i="2"/>
  <c r="F11" i="2"/>
  <c r="F10" i="2"/>
  <c r="F9" i="2"/>
  <c r="F8" i="2"/>
  <c r="F7" i="2"/>
  <c r="F15" i="2" s="1"/>
  <c r="F6" i="2"/>
  <c r="F5" i="2"/>
  <c r="E29" i="1"/>
  <c r="E28" i="1"/>
  <c r="E27" i="1"/>
  <c r="E26" i="1"/>
  <c r="C30" i="1" s="1"/>
  <c r="D21" i="1"/>
  <c r="C21" i="1"/>
  <c r="C32" i="1" s="1"/>
  <c r="K15" i="3" l="1"/>
  <c r="K16" i="3" s="1"/>
  <c r="K17" i="3" s="1"/>
  <c r="K18" i="3" s="1"/>
  <c r="K19" i="3" s="1"/>
  <c r="K20" i="3" s="1"/>
  <c r="K21" i="3" s="1"/>
  <c r="K22" i="3" s="1"/>
  <c r="K11" i="3"/>
  <c r="K12" i="3" s="1"/>
  <c r="K13" i="3" s="1"/>
  <c r="K14" i="3" s="1"/>
  <c r="J23" i="3"/>
  <c r="K23" i="3" l="1"/>
</calcChain>
</file>

<file path=xl/sharedStrings.xml><?xml version="1.0" encoding="utf-8"?>
<sst xmlns="http://schemas.openxmlformats.org/spreadsheetml/2006/main" count="119" uniqueCount="105">
  <si>
    <t>CuraLive: Lean Startup &amp; Scaling Expenses</t>
  </si>
  <si>
    <t>2-Person Operation (You + Steve) - Revised Structure</t>
  </si>
  <si>
    <t>STARTUP COSTS (ONE-TIME)</t>
  </si>
  <si>
    <t>Category</t>
  </si>
  <si>
    <t>Item</t>
  </si>
  <si>
    <t>Low Cost</t>
  </si>
  <si>
    <t>High Cost</t>
  </si>
  <si>
    <t>Notes</t>
  </si>
  <si>
    <t>Infrastructure</t>
  </si>
  <si>
    <t>AWS/Cloud Setup</t>
  </si>
  <si>
    <t>Initial infrastructure</t>
  </si>
  <si>
    <t>Domain &amp; DNS</t>
  </si>
  <si>
    <t>curalive.com</t>
  </si>
  <si>
    <t>SSL Certificates</t>
  </si>
  <si>
    <t>Security</t>
  </si>
  <si>
    <t>Database Setup</t>
  </si>
  <si>
    <t>Initial database</t>
  </si>
  <si>
    <t>API Keys &amp; Integrations</t>
  </si>
  <si>
    <t>Zoom, Teams, Recall.ai</t>
  </si>
  <si>
    <t>Monitoring &amp; Analytics</t>
  </si>
  <si>
    <t>CloudWatch setup</t>
  </si>
  <si>
    <t>Software &amp; Tools</t>
  </si>
  <si>
    <t>Project Management</t>
  </si>
  <si>
    <t>Jira, Asana</t>
  </si>
  <si>
    <t>Communication</t>
  </si>
  <si>
    <t>Slack, Discord</t>
  </si>
  <si>
    <t>Design Tools</t>
  </si>
  <si>
    <t>Figma</t>
  </si>
  <si>
    <t>Analytics</t>
  </si>
  <si>
    <t>Mixpanel</t>
  </si>
  <si>
    <t>CRM</t>
  </si>
  <si>
    <t>HubSpot</t>
  </si>
  <si>
    <t>Marketing &amp; Branding</t>
  </si>
  <si>
    <t>Logo &amp; Brand Design</t>
  </si>
  <si>
    <t>Professional design</t>
  </si>
  <si>
    <t>Website Design</t>
  </si>
  <si>
    <t>Landing page</t>
  </si>
  <si>
    <t>Marketing Materials</t>
  </si>
  <si>
    <t>Pitch deck</t>
  </si>
  <si>
    <t>SUBTOTAL</t>
  </si>
  <si>
    <t>MONTHLY OPERATING COSTS</t>
  </si>
  <si>
    <t>Phase</t>
  </si>
  <si>
    <t>Timeline</t>
  </si>
  <si>
    <t>Monthly Cost (Low)</t>
  </si>
  <si>
    <t>Monthly Cost (High)</t>
  </si>
  <si>
    <t>Total</t>
  </si>
  <si>
    <t>Phase 1: Pre-Revenue</t>
  </si>
  <si>
    <t>Mo 1-3</t>
  </si>
  <si>
    <t>Phase 2: First Revenue</t>
  </si>
  <si>
    <t>Mo 4-6</t>
  </si>
  <si>
    <t>Phase 3: Growth</t>
  </si>
  <si>
    <t>Mo 7-12</t>
  </si>
  <si>
    <t>Phase 4: Scale</t>
  </si>
  <si>
    <t>Mo 13-18</t>
  </si>
  <si>
    <t>TOTAL OPERATING (18 months)</t>
  </si>
  <si>
    <t>TOTAL 18-MONTH INVESTMENT</t>
  </si>
  <si>
    <t>CuraLive: Infrastructure &amp; Technology Costs</t>
  </si>
  <si>
    <t>Detailed Component Breakdown by Phase</t>
  </si>
  <si>
    <t>Component</t>
  </si>
  <si>
    <t>Current (Mo 1-3)</t>
  </si>
  <si>
    <t>Growth (Mo 4-9)</t>
  </si>
  <si>
    <t>Scale (Mo 10-15)</t>
  </si>
  <si>
    <t>Exit (Mo 16-18)</t>
  </si>
  <si>
    <t>18-Month Total</t>
  </si>
  <si>
    <t>Compute (EC2)</t>
  </si>
  <si>
    <t>Database (RDS)</t>
  </si>
  <si>
    <t>Storage (S3)</t>
  </si>
  <si>
    <t>Data Transfer</t>
  </si>
  <si>
    <t>CDN (CloudFront)</t>
  </si>
  <si>
    <t>Monitoring</t>
  </si>
  <si>
    <t>API Gateway</t>
  </si>
  <si>
    <t>Caching (Redis)</t>
  </si>
  <si>
    <t>Security/SSL</t>
  </si>
  <si>
    <t>Backup/DR</t>
  </si>
  <si>
    <t>TOTAL</t>
  </si>
  <si>
    <t>CuraLive: Monthly Infrastructure Costs (18 Months)</t>
  </si>
  <si>
    <t>Detailed month-by-month costs for all components</t>
  </si>
  <si>
    <t>Month</t>
  </si>
  <si>
    <t>Compute</t>
  </si>
  <si>
    <t>Database</t>
  </si>
  <si>
    <t>Storage</t>
  </si>
  <si>
    <t>Transfer</t>
  </si>
  <si>
    <t>CDN</t>
  </si>
  <si>
    <t>API GW</t>
  </si>
  <si>
    <t>Cache</t>
  </si>
  <si>
    <t>Backup</t>
  </si>
  <si>
    <t>Cumulative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</si>
  <si>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</si>
  <si>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</si>
  <si>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</si>
  <si>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</si>
  <si>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</si>
  <si>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</si>
  <si>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</si>
  <si>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</si>
  <si>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</si>
  <si>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</si>
  <si>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</si>
  <si>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</si>
  <si>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Mo 13</t>
  </si>
  <si>
    <t>Mo 14</t>
  </si>
  <si>
    <t>Mo 15</t>
  </si>
  <si>
    <t>Mo 16</t>
  </si>
  <si>
    <t>Mo 17</t>
  </si>
  <si>
    <t>Mo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</si>
</sst>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0" fillId="0" borderId="0" xfId="0"/>
    <xf numFmtId="0" fontId="1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K8" sqref="K8"/>
    </sheetView>
  </sheetViews>
  <sheetFormatPr defaultRowHeight="15" x14ac:dyDescent="0.25"/>
  <cols>
    <col min="1" max="1" width="25" customWidth="1"/>
    <col min="2" max="2" width="30" customWidth="1"/>
    <col min="3" max="4" width="18" customWidth="1"/>
    <col min="5" max="5" width="20" customWidth="1"/>
  </cols>
  <sheetData>
    <row r="1" spans="1:5" ht="18.75" x14ac:dyDescent="0.3">
      <c r="A1" s="6" t="s">
        <v>0</v>
      </c>
      <c r="B1" s="5"/>
      <c r="C1" s="5"/>
      <c r="D1" s="5"/>
      <c r="E1" s="5"/>
    </row>
    <row r="2" spans="1:5" x14ac:dyDescent="0.25">
      <c r="A2" s="4" t="s">
        <v>1</v>
      </c>
      <c r="B2" s="5"/>
      <c r="C2" s="5"/>
      <c r="D2" s="5"/>
      <c r="E2" s="5"/>
    </row>
    <row r="5" spans="1:5" ht="15.75" x14ac:dyDescent="0.25">
      <c r="A5" s="7" t="s">
        <v>2</v>
      </c>
      <c r="B5" s="5"/>
      <c r="C5" s="5"/>
      <c r="D5" s="5"/>
      <c r="E5" s="5"/>
    </row>
    <row r="6" spans="1:5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</row>
    <row r="7" spans="1:5" x14ac:dyDescent="0.25">
      <c r="A7" t="s">
        <v>8</v>
      </c>
      <c r="B7" t="s">
        <v>9</v>
      </c>
      <c r="C7" s="2">
        <v>500</v>
      </c>
      <c r="D7" s="2">
        <v>1000</v>
      </c>
      <c r="E7" t="s">
        <v>10</v>
      </c>
    </row>
    <row r="8" spans="1:5" x14ac:dyDescent="0.25">
      <c r="A8" t="s">
        <v>8</v>
      </c>
      <c r="B8" t="s">
        <v>11</v>
      </c>
      <c r="C8" s="2">
        <v>100</v>
      </c>
      <c r="D8" s="2">
        <v>200</v>
      </c>
      <c r="E8" t="s">
        <v>12</v>
      </c>
    </row>
    <row r="9" spans="1:5" x14ac:dyDescent="0.25">
      <c r="A9" t="s">
        <v>8</v>
      </c>
      <c r="B9" t="s">
        <v>13</v>
      </c>
      <c r="C9" s="2">
        <v>100</v>
      </c>
      <c r="D9" s="2">
        <v>200</v>
      </c>
      <c r="E9" t="s">
        <v>14</v>
      </c>
    </row>
    <row r="10" spans="1:5" x14ac:dyDescent="0.25">
      <c r="A10" t="s">
        <v>8</v>
      </c>
      <c r="B10" t="s">
        <v>15</v>
      </c>
      <c r="C10" s="2">
        <v>500</v>
      </c>
      <c r="D10" s="2">
        <v>1000</v>
      </c>
      <c r="E10" t="s">
        <v>16</v>
      </c>
    </row>
    <row r="11" spans="1:5" x14ac:dyDescent="0.25">
      <c r="A11" t="s">
        <v>8</v>
      </c>
      <c r="B11" t="s">
        <v>17</v>
      </c>
      <c r="C11" s="2">
        <v>200</v>
      </c>
      <c r="D11" s="2">
        <v>500</v>
      </c>
      <c r="E11" t="s">
        <v>18</v>
      </c>
    </row>
    <row r="12" spans="1:5" x14ac:dyDescent="0.25">
      <c r="A12" t="s">
        <v>8</v>
      </c>
      <c r="B12" t="s">
        <v>19</v>
      </c>
      <c r="C12" s="2">
        <v>300</v>
      </c>
      <c r="D12" s="2">
        <v>500</v>
      </c>
      <c r="E12" t="s">
        <v>20</v>
      </c>
    </row>
    <row r="13" spans="1:5" x14ac:dyDescent="0.25">
      <c r="A13" t="s">
        <v>21</v>
      </c>
      <c r="B13" t="s">
        <v>22</v>
      </c>
      <c r="C13" s="2">
        <v>100</v>
      </c>
      <c r="D13" s="2">
        <v>200</v>
      </c>
      <c r="E13" t="s">
        <v>23</v>
      </c>
    </row>
    <row r="14" spans="1:5" x14ac:dyDescent="0.25">
      <c r="A14" t="s">
        <v>21</v>
      </c>
      <c r="B14" t="s">
        <v>24</v>
      </c>
      <c r="C14" s="2">
        <v>100</v>
      </c>
      <c r="D14" s="2">
        <v>200</v>
      </c>
      <c r="E14" t="s">
        <v>25</v>
      </c>
    </row>
    <row r="15" spans="1:5" x14ac:dyDescent="0.25">
      <c r="A15" t="s">
        <v>21</v>
      </c>
      <c r="B15" t="s">
        <v>26</v>
      </c>
      <c r="C15" s="2">
        <v>100</v>
      </c>
      <c r="D15" s="2">
        <v>200</v>
      </c>
      <c r="E15" t="s">
        <v>27</v>
      </c>
    </row>
    <row r="16" spans="1:5" x14ac:dyDescent="0.25">
      <c r="A16" t="s">
        <v>21</v>
      </c>
      <c r="B16" t="s">
        <v>28</v>
      </c>
      <c r="C16" s="2">
        <v>100</v>
      </c>
      <c r="D16" s="2">
        <v>200</v>
      </c>
      <c r="E16" t="s">
        <v>29</v>
      </c>
    </row>
    <row r="17" spans="1:5" x14ac:dyDescent="0.25">
      <c r="A17" t="s">
        <v>21</v>
      </c>
      <c r="B17" t="s">
        <v>30</v>
      </c>
      <c r="C17" s="2">
        <v>100</v>
      </c>
      <c r="D17" s="2">
        <v>200</v>
      </c>
      <c r="E17" t="s">
        <v>31</v>
      </c>
    </row>
    <row r="18" spans="1:5" x14ac:dyDescent="0.25">
      <c r="A18" t="s">
        <v>32</v>
      </c>
      <c r="B18" t="s">
        <v>33</v>
      </c>
      <c r="C18" s="2">
        <v>500</v>
      </c>
      <c r="D18" s="2">
        <v>1500</v>
      </c>
      <c r="E18" t="s">
        <v>34</v>
      </c>
    </row>
    <row r="19" spans="1:5" x14ac:dyDescent="0.25">
      <c r="A19" t="s">
        <v>32</v>
      </c>
      <c r="B19" t="s">
        <v>35</v>
      </c>
      <c r="C19" s="2">
        <v>1000</v>
      </c>
      <c r="D19" s="2">
        <v>3000</v>
      </c>
      <c r="E19" t="s">
        <v>36</v>
      </c>
    </row>
    <row r="20" spans="1:5" x14ac:dyDescent="0.25">
      <c r="A20" t="s">
        <v>32</v>
      </c>
      <c r="B20" t="s">
        <v>37</v>
      </c>
      <c r="C20" s="2">
        <v>500</v>
      </c>
      <c r="D20" s="2">
        <v>1000</v>
      </c>
      <c r="E20" t="s">
        <v>38</v>
      </c>
    </row>
    <row r="21" spans="1:5" x14ac:dyDescent="0.25">
      <c r="B21" t="s">
        <v>39</v>
      </c>
      <c r="C21" s="2">
        <f>SUM(C7:C20)</f>
        <v>4200</v>
      </c>
      <c r="D21" s="2">
        <f>SUM(D7:D20)</f>
        <v>9900</v>
      </c>
    </row>
    <row r="24" spans="1:5" ht="15.75" x14ac:dyDescent="0.25">
      <c r="A24" s="7" t="s">
        <v>40</v>
      </c>
      <c r="B24" s="5"/>
      <c r="C24" s="5"/>
      <c r="D24" s="5"/>
      <c r="E24" s="5"/>
    </row>
    <row r="25" spans="1:5" x14ac:dyDescent="0.25">
      <c r="A25" t="s">
        <v>41</v>
      </c>
      <c r="B25" t="s">
        <v>42</v>
      </c>
      <c r="C25" t="s">
        <v>43</v>
      </c>
      <c r="D25" t="s">
        <v>44</v>
      </c>
      <c r="E25" t="s">
        <v>45</v>
      </c>
    </row>
    <row r="26" spans="1:5" x14ac:dyDescent="0.25">
      <c r="A26" t="s">
        <v>46</v>
      </c>
      <c r="B26" t="s">
        <v>47</v>
      </c>
      <c r="C26" s="2">
        <v>1500</v>
      </c>
      <c r="D26" s="2">
        <v>2100</v>
      </c>
      <c r="E26" s="2">
        <f>C26*3</f>
        <v>4500</v>
      </c>
    </row>
    <row r="27" spans="1:5" x14ac:dyDescent="0.25">
      <c r="A27" t="s">
        <v>48</v>
      </c>
      <c r="B27" t="s">
        <v>49</v>
      </c>
      <c r="C27" s="2">
        <v>3000</v>
      </c>
      <c r="D27" s="2">
        <v>5000</v>
      </c>
      <c r="E27" s="2">
        <f>C27*3</f>
        <v>9000</v>
      </c>
    </row>
    <row r="28" spans="1:5" x14ac:dyDescent="0.25">
      <c r="A28" t="s">
        <v>50</v>
      </c>
      <c r="B28" t="s">
        <v>51</v>
      </c>
      <c r="C28" s="2">
        <v>5000</v>
      </c>
      <c r="D28" s="2">
        <v>6000</v>
      </c>
      <c r="E28" s="2">
        <f>C28*6</f>
        <v>30000</v>
      </c>
    </row>
    <row r="29" spans="1:5" x14ac:dyDescent="0.25">
      <c r="A29" t="s">
        <v>52</v>
      </c>
      <c r="B29" t="s">
        <v>53</v>
      </c>
      <c r="C29" s="2">
        <v>7500</v>
      </c>
      <c r="D29" s="2">
        <v>8000</v>
      </c>
      <c r="E29" s="2">
        <f>C29*6</f>
        <v>45000</v>
      </c>
    </row>
    <row r="30" spans="1:5" x14ac:dyDescent="0.25">
      <c r="A30" t="s">
        <v>54</v>
      </c>
      <c r="C30" s="2">
        <f>SUM(E26:E29)</f>
        <v>88500</v>
      </c>
    </row>
    <row r="32" spans="1:5" x14ac:dyDescent="0.25">
      <c r="A32" t="s">
        <v>55</v>
      </c>
      <c r="C32" s="2">
        <f>C21+C30</f>
        <v>92700</v>
      </c>
    </row>
  </sheetData>
  <mergeCells count="4">
    <mergeCell ref="A2:E2"/>
    <mergeCell ref="A1:E1"/>
    <mergeCell ref="A5:E5"/>
    <mergeCell ref="A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sqref="A1:F1"/>
    </sheetView>
  </sheetViews>
  <sheetFormatPr defaultRowHeight="15" x14ac:dyDescent="0.25"/>
  <cols>
    <col min="1" max="1" width="20" customWidth="1"/>
    <col min="2" max="6" width="18" customWidth="1"/>
  </cols>
  <sheetData>
    <row r="1" spans="1:6" ht="18.75" x14ac:dyDescent="0.3">
      <c r="A1" s="6" t="s">
        <v>56</v>
      </c>
      <c r="B1" s="5"/>
      <c r="C1" s="5"/>
      <c r="D1" s="5"/>
      <c r="E1" s="5"/>
      <c r="F1" s="5"/>
    </row>
    <row r="2" spans="1:6" x14ac:dyDescent="0.25">
      <c r="A2" s="4" t="s">
        <v>57</v>
      </c>
      <c r="B2" s="5"/>
      <c r="C2" s="5"/>
      <c r="D2" s="5"/>
      <c r="E2" s="5"/>
      <c r="F2" s="5"/>
    </row>
    <row r="4" spans="1:6" x14ac:dyDescent="0.25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</row>
    <row r="5" spans="1:6" x14ac:dyDescent="0.25">
      <c r="A5" t="s">
        <v>64</v>
      </c>
      <c r="B5" s="3">
        <v>10</v>
      </c>
      <c r="C5" s="3">
        <v>50</v>
      </c>
      <c r="D5" s="3">
        <v>120</v>
      </c>
      <c r="E5" s="3">
        <v>200</v>
      </c>
      <c r="F5" s="3">
        <f t="shared" ref="F5:F14" si="0">B5*3+C5*6+D5*6+E5*3</f>
        <v>1650</v>
      </c>
    </row>
    <row r="6" spans="1:6" x14ac:dyDescent="0.25">
      <c r="A6" t="s">
        <v>65</v>
      </c>
      <c r="B6" s="3">
        <v>15</v>
      </c>
      <c r="C6" s="3">
        <v>50</v>
      </c>
      <c r="D6" s="3">
        <v>150</v>
      </c>
      <c r="E6" s="3">
        <v>300</v>
      </c>
      <c r="F6" s="3">
        <f t="shared" si="0"/>
        <v>2145</v>
      </c>
    </row>
    <row r="7" spans="1:6" x14ac:dyDescent="0.25">
      <c r="A7" t="s">
        <v>66</v>
      </c>
      <c r="B7" s="3">
        <v>0.5</v>
      </c>
      <c r="C7" s="3">
        <v>2</v>
      </c>
      <c r="D7" s="3">
        <v>10</v>
      </c>
      <c r="E7" s="3">
        <v>20</v>
      </c>
      <c r="F7" s="3">
        <f t="shared" si="0"/>
        <v>133.5</v>
      </c>
    </row>
    <row r="8" spans="1:6" x14ac:dyDescent="0.25">
      <c r="A8" t="s">
        <v>67</v>
      </c>
      <c r="B8" s="3">
        <v>1</v>
      </c>
      <c r="C8" s="3">
        <v>10</v>
      </c>
      <c r="D8" s="3">
        <v>40</v>
      </c>
      <c r="E8" s="3">
        <v>80</v>
      </c>
      <c r="F8" s="3">
        <f t="shared" si="0"/>
        <v>543</v>
      </c>
    </row>
    <row r="9" spans="1:6" x14ac:dyDescent="0.25">
      <c r="A9" t="s">
        <v>68</v>
      </c>
      <c r="B9" s="3">
        <v>0</v>
      </c>
      <c r="C9" s="3">
        <v>10</v>
      </c>
      <c r="D9" s="3">
        <v>50</v>
      </c>
      <c r="E9" s="3">
        <v>100</v>
      </c>
      <c r="F9" s="3">
        <f t="shared" si="0"/>
        <v>660</v>
      </c>
    </row>
    <row r="10" spans="1:6" x14ac:dyDescent="0.25">
      <c r="A10" t="s">
        <v>69</v>
      </c>
      <c r="B10" s="3">
        <v>5</v>
      </c>
      <c r="C10" s="3">
        <v>70</v>
      </c>
      <c r="D10" s="3">
        <v>200</v>
      </c>
      <c r="E10" s="3">
        <v>400</v>
      </c>
      <c r="F10" s="3">
        <f t="shared" si="0"/>
        <v>2835</v>
      </c>
    </row>
    <row r="11" spans="1:6" x14ac:dyDescent="0.25">
      <c r="A11" t="s">
        <v>70</v>
      </c>
      <c r="B11" s="3">
        <v>0.35</v>
      </c>
      <c r="C11" s="3">
        <v>35</v>
      </c>
      <c r="D11" s="3">
        <v>175</v>
      </c>
      <c r="E11" s="3">
        <v>350</v>
      </c>
      <c r="F11" s="3">
        <f t="shared" si="0"/>
        <v>2311.0500000000002</v>
      </c>
    </row>
    <row r="12" spans="1:6" x14ac:dyDescent="0.25">
      <c r="A12" t="s">
        <v>71</v>
      </c>
      <c r="B12" s="3">
        <v>0</v>
      </c>
      <c r="C12" s="3">
        <v>25</v>
      </c>
      <c r="D12" s="3">
        <v>50</v>
      </c>
      <c r="E12" s="3">
        <v>100</v>
      </c>
      <c r="F12" s="3">
        <f t="shared" si="0"/>
        <v>750</v>
      </c>
    </row>
    <row r="13" spans="1:6" x14ac:dyDescent="0.25">
      <c r="A13" t="s">
        <v>72</v>
      </c>
      <c r="B13" s="3">
        <v>0</v>
      </c>
      <c r="C13" s="3">
        <v>0</v>
      </c>
      <c r="D13" s="3">
        <v>0</v>
      </c>
      <c r="E13" s="3">
        <v>0</v>
      </c>
      <c r="F13" s="3">
        <f t="shared" si="0"/>
        <v>0</v>
      </c>
    </row>
    <row r="14" spans="1:6" x14ac:dyDescent="0.25">
      <c r="A14" t="s">
        <v>73</v>
      </c>
      <c r="B14" s="3">
        <v>2</v>
      </c>
      <c r="C14" s="3">
        <v>10</v>
      </c>
      <c r="D14" s="3">
        <v>40</v>
      </c>
      <c r="E14" s="3">
        <v>100</v>
      </c>
      <c r="F14" s="3">
        <f t="shared" si="0"/>
        <v>606</v>
      </c>
    </row>
    <row r="15" spans="1:6" x14ac:dyDescent="0.25">
      <c r="A15" t="s">
        <v>74</v>
      </c>
      <c r="B15" s="3">
        <f>SUM(B5:B14)</f>
        <v>33.85</v>
      </c>
      <c r="C15" s="3">
        <f>SUM(C5:C14)</f>
        <v>262</v>
      </c>
      <c r="D15" s="3">
        <f>SUM(D5:D14)</f>
        <v>835</v>
      </c>
      <c r="E15" s="3">
        <f>SUM(E5:E14)</f>
        <v>1650</v>
      </c>
      <c r="F15" s="3">
        <f>SUM(F5:F14)</f>
        <v>11633.55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topLeftCell="A3" workbookViewId="0">
      <selection activeCell="J5" sqref="J5"/>
    </sheetView>
  </sheetViews>
  <sheetFormatPr defaultRowHeight="15" x14ac:dyDescent="0.25"/>
  <cols>
    <col min="1" max="1" width="12" customWidth="1"/>
    <col min="2" max="12" width="14" customWidth="1"/>
  </cols>
  <sheetData>
    <row r="1" spans="1:12" ht="18.75" x14ac:dyDescent="0.3">
      <c r="A1" s="6" t="s">
        <v>75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2" x14ac:dyDescent="0.25">
      <c r="A2" s="4" t="s">
        <v>76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spans="1:12" ht="15.75" x14ac:dyDescent="0.25">
      <c r="A4" s="1" t="s">
        <v>77</v>
      </c>
      <c r="B4" s="1" t="s">
        <v>78</v>
      </c>
      <c r="C4" s="1" t="s">
        <v>79</v>
      </c>
      <c r="D4" s="1" t="s">
        <v>80</v>
      </c>
      <c r="E4" s="1" t="s">
        <v>81</v>
      </c>
      <c r="F4" s="1" t="s">
        <v>82</v>
      </c>
      <c r="G4" s="1" t="s">
        <v>69</v>
      </c>
      <c r="H4" s="1" t="s">
        <v>83</v>
      </c>
      <c r="I4" s="1" t="s">
        <v>84</v>
      </c>
      <c r="J4" s="1" t="s">
        <v>85</v>
      </c>
      <c r="K4" s="1" t="s">
        <v>45</v>
      </c>
      <c r="L4" s="1" t="s">
        <v>86</v>
      </c>
    </row>
    <row r="5" spans="1:12" x14ac:dyDescent="0.25">
      <c r="A5" t="s">
        <v>87</v>
      </c>
      <c r="B5" s="3">
        <v>5</v>
      </c>
      <c r="C5" s="3">
        <v>5</v>
      </c>
      <c r="D5" s="3">
        <v>0.25</v>
      </c>
      <c r="E5" s="3">
        <v>0.5</v>
      </c>
      <c r="F5" s="3">
        <v>0</v>
      </c>
      <c r="G5" s="3">
        <v>2</v>
      </c>
      <c r="H5" s="3">
        <v>0.35</v>
      </c>
      <c r="I5" s="3">
        <v>0</v>
      </c>
      <c r="J5" s="3">
        <f t="shared" ref="J5:J22" si="0">SUM(B5:I5)</f>
        <v>13.1</v>
      </c>
      <c r="K5" s="3">
        <f>J5</f>
        <v>13.1</v>
      </c>
    </row>
    <row r="6" spans="1:12" x14ac:dyDescent="0.25">
      <c r="A6" t="s">
        <v>88</v>
      </c>
      <c r="B6" s="3">
        <v>5</v>
      </c>
      <c r="C6" s="3">
        <v>5</v>
      </c>
      <c r="D6" s="3">
        <v>0.25</v>
      </c>
      <c r="E6" s="3">
        <v>0.5</v>
      </c>
      <c r="F6" s="3">
        <v>0</v>
      </c>
      <c r="G6" s="3">
        <v>2</v>
      </c>
      <c r="H6" s="3">
        <v>0.35</v>
      </c>
      <c r="I6" s="3">
        <v>0</v>
      </c>
      <c r="J6" s="3">
        <f t="shared" si="0"/>
        <v>13.1</v>
      </c>
      <c r="K6" s="3">
        <f t="shared" ref="K6:K22" si="1">J6+K5</f>
        <v>26.2</v>
      </c>
    </row>
    <row r="7" spans="1:12" x14ac:dyDescent="0.25">
      <c r="A7" t="s">
        <v>89</v>
      </c>
      <c r="B7" s="3">
        <v>5</v>
      </c>
      <c r="C7" s="3">
        <v>5</v>
      </c>
      <c r="D7" s="3">
        <v>0.25</v>
      </c>
      <c r="E7" s="3">
        <v>0.5</v>
      </c>
      <c r="F7" s="3">
        <v>0</v>
      </c>
      <c r="G7" s="3">
        <v>2</v>
      </c>
      <c r="H7" s="3">
        <v>0.35</v>
      </c>
      <c r="I7" s="3">
        <v>0</v>
      </c>
      <c r="J7" s="3">
        <f t="shared" si="0"/>
        <v>13.1</v>
      </c>
      <c r="K7" s="3">
        <f t="shared" si="1"/>
        <v>39.299999999999997</v>
      </c>
    </row>
    <row r="8" spans="1:12" x14ac:dyDescent="0.25">
      <c r="A8" t="s">
        <v>90</v>
      </c>
      <c r="B8" s="3">
        <v>35</v>
      </c>
      <c r="C8" s="3">
        <v>35</v>
      </c>
      <c r="D8" s="3">
        <v>0.5</v>
      </c>
      <c r="E8" s="3">
        <v>5</v>
      </c>
      <c r="F8" s="3">
        <v>7</v>
      </c>
      <c r="G8" s="3">
        <v>15</v>
      </c>
      <c r="H8" s="3">
        <v>15</v>
      </c>
      <c r="I8" s="3">
        <v>15</v>
      </c>
      <c r="J8" s="3">
        <f t="shared" si="0"/>
        <v>127.5</v>
      </c>
      <c r="K8" s="3">
        <f t="shared" si="1"/>
        <v>166.8</v>
      </c>
    </row>
    <row r="9" spans="1:12" x14ac:dyDescent="0.25">
      <c r="A9" t="s">
        <v>91</v>
      </c>
      <c r="B9" s="3">
        <v>35</v>
      </c>
      <c r="C9" s="3">
        <v>35</v>
      </c>
      <c r="D9" s="3">
        <v>0.75</v>
      </c>
      <c r="E9" s="3">
        <v>7</v>
      </c>
      <c r="F9" s="3">
        <v>7</v>
      </c>
      <c r="G9" s="3">
        <v>20</v>
      </c>
      <c r="H9" s="3">
        <v>20</v>
      </c>
      <c r="I9" s="3">
        <v>15</v>
      </c>
      <c r="J9" s="3">
        <f t="shared" si="0"/>
        <v>139.75</v>
      </c>
      <c r="K9" s="3">
        <f t="shared" si="1"/>
        <v>306.55</v>
      </c>
    </row>
    <row r="10" spans="1:12" x14ac:dyDescent="0.25">
      <c r="A10" t="s">
        <v>92</v>
      </c>
      <c r="B10" s="3">
        <v>40</v>
      </c>
      <c r="C10" s="3">
        <v>40</v>
      </c>
      <c r="D10" s="3">
        <v>1</v>
      </c>
      <c r="E10" s="3">
        <v>8</v>
      </c>
      <c r="F10" s="3">
        <v>8</v>
      </c>
      <c r="G10" s="3">
        <v>25</v>
      </c>
      <c r="H10" s="3">
        <v>25</v>
      </c>
      <c r="I10" s="3">
        <v>20</v>
      </c>
      <c r="J10" s="3">
        <f t="shared" si="0"/>
        <v>167</v>
      </c>
      <c r="K10" s="3">
        <f t="shared" si="1"/>
        <v>473.55</v>
      </c>
    </row>
    <row r="11" spans="1:12" x14ac:dyDescent="0.25">
      <c r="A11" t="s">
        <v>93</v>
      </c>
      <c r="B11" s="3">
        <v>60</v>
      </c>
      <c r="C11" s="3">
        <v>60</v>
      </c>
      <c r="D11" s="3">
        <v>2</v>
      </c>
      <c r="E11" s="3">
        <v>15</v>
      </c>
      <c r="F11" s="3">
        <v>15</v>
      </c>
      <c r="G11" s="3">
        <v>40</v>
      </c>
      <c r="H11" s="3">
        <v>50</v>
      </c>
      <c r="I11" s="3">
        <v>25</v>
      </c>
      <c r="J11" s="3">
        <f t="shared" si="0"/>
        <v>267</v>
      </c>
      <c r="K11" s="3">
        <f t="shared" si="1"/>
        <v>740.55</v>
      </c>
    </row>
    <row r="12" spans="1:12" x14ac:dyDescent="0.25">
      <c r="A12" t="s">
        <v>94</v>
      </c>
      <c r="B12" s="3">
        <v>70</v>
      </c>
      <c r="C12" s="3">
        <v>70</v>
      </c>
      <c r="D12" s="3">
        <v>3</v>
      </c>
      <c r="E12" s="3">
        <v>20</v>
      </c>
      <c r="F12" s="3">
        <v>20</v>
      </c>
      <c r="G12" s="3">
        <v>50</v>
      </c>
      <c r="H12" s="3">
        <v>75</v>
      </c>
      <c r="I12" s="3">
        <v>30</v>
      </c>
      <c r="J12" s="3">
        <f t="shared" si="0"/>
        <v>338</v>
      </c>
      <c r="K12" s="3">
        <f t="shared" si="1"/>
        <v>1078.55</v>
      </c>
    </row>
    <row r="13" spans="1:12" x14ac:dyDescent="0.25">
      <c r="A13" t="s">
        <v>95</v>
      </c>
      <c r="B13" s="3">
        <v>80</v>
      </c>
      <c r="C13" s="3">
        <v>80</v>
      </c>
      <c r="D13" s="3">
        <v>4</v>
      </c>
      <c r="E13" s="3">
        <v>25</v>
      </c>
      <c r="F13" s="3">
        <v>25</v>
      </c>
      <c r="G13" s="3">
        <v>60</v>
      </c>
      <c r="H13" s="3">
        <v>100</v>
      </c>
      <c r="I13" s="3">
        <v>35</v>
      </c>
      <c r="J13" s="3">
        <f t="shared" si="0"/>
        <v>409</v>
      </c>
      <c r="K13" s="3">
        <f t="shared" si="1"/>
        <v>1487.55</v>
      </c>
    </row>
    <row r="14" spans="1:12" x14ac:dyDescent="0.25">
      <c r="A14" t="s">
        <v>96</v>
      </c>
      <c r="B14" s="3">
        <v>90</v>
      </c>
      <c r="C14" s="3">
        <v>100</v>
      </c>
      <c r="D14" s="3">
        <v>5</v>
      </c>
      <c r="E14" s="3">
        <v>30</v>
      </c>
      <c r="F14" s="3">
        <v>30</v>
      </c>
      <c r="G14" s="3">
        <v>80</v>
      </c>
      <c r="H14" s="3">
        <v>125</v>
      </c>
      <c r="I14" s="3">
        <v>35</v>
      </c>
      <c r="J14" s="3">
        <f t="shared" si="0"/>
        <v>495</v>
      </c>
      <c r="K14" s="3">
        <f t="shared" si="1"/>
        <v>1982.55</v>
      </c>
    </row>
    <row r="15" spans="1:12" x14ac:dyDescent="0.25">
      <c r="A15" t="s">
        <v>97</v>
      </c>
      <c r="B15" s="3">
        <v>100</v>
      </c>
      <c r="C15" s="3">
        <v>110</v>
      </c>
      <c r="D15" s="3">
        <v>6</v>
      </c>
      <c r="E15" s="3">
        <v>35</v>
      </c>
      <c r="F15" s="3">
        <v>35</v>
      </c>
      <c r="G15" s="3">
        <v>100</v>
      </c>
      <c r="H15" s="3">
        <v>150</v>
      </c>
      <c r="I15" s="3">
        <v>40</v>
      </c>
      <c r="J15" s="3">
        <f t="shared" si="0"/>
        <v>576</v>
      </c>
      <c r="K15" s="3">
        <f t="shared" si="1"/>
        <v>2558.5500000000002</v>
      </c>
    </row>
    <row r="16" spans="1:12" x14ac:dyDescent="0.25">
      <c r="A16" t="s">
        <v>98</v>
      </c>
      <c r="B16" s="3">
        <v>110</v>
      </c>
      <c r="C16" s="3">
        <v>120</v>
      </c>
      <c r="D16" s="3">
        <v>7</v>
      </c>
      <c r="E16" s="3">
        <v>40</v>
      </c>
      <c r="F16" s="3">
        <v>40</v>
      </c>
      <c r="G16" s="3">
        <v>120</v>
      </c>
      <c r="H16" s="3">
        <v>175</v>
      </c>
      <c r="I16" s="3">
        <v>45</v>
      </c>
      <c r="J16" s="3">
        <f t="shared" si="0"/>
        <v>657</v>
      </c>
      <c r="K16" s="3">
        <f t="shared" si="1"/>
        <v>3215.55</v>
      </c>
    </row>
    <row r="17" spans="1:11" x14ac:dyDescent="0.25">
      <c r="A17" t="s">
        <v>99</v>
      </c>
      <c r="B17" s="3">
        <v>130</v>
      </c>
      <c r="C17" s="3">
        <v>140</v>
      </c>
      <c r="D17" s="3">
        <v>8</v>
      </c>
      <c r="E17" s="3">
        <v>45</v>
      </c>
      <c r="F17" s="3">
        <v>50</v>
      </c>
      <c r="G17" s="3">
        <v>150</v>
      </c>
      <c r="H17" s="3">
        <v>200</v>
      </c>
      <c r="I17" s="3">
        <v>50</v>
      </c>
      <c r="J17" s="3">
        <f t="shared" si="0"/>
        <v>773</v>
      </c>
      <c r="K17" s="3">
        <f t="shared" si="1"/>
        <v>3988.55</v>
      </c>
    </row>
    <row r="18" spans="1:11" x14ac:dyDescent="0.25">
      <c r="A18" t="s">
        <v>100</v>
      </c>
      <c r="B18" s="3">
        <v>150</v>
      </c>
      <c r="C18" s="3">
        <v>160</v>
      </c>
      <c r="D18" s="3">
        <v>10</v>
      </c>
      <c r="E18" s="3">
        <v>50</v>
      </c>
      <c r="F18" s="3">
        <v>60</v>
      </c>
      <c r="G18" s="3">
        <v>180</v>
      </c>
      <c r="H18" s="3">
        <v>225</v>
      </c>
      <c r="I18" s="3">
        <v>55</v>
      </c>
      <c r="J18" s="3">
        <f t="shared" si="0"/>
        <v>890</v>
      </c>
      <c r="K18" s="3">
        <f t="shared" si="1"/>
        <v>4878.55</v>
      </c>
    </row>
    <row r="19" spans="1:11" x14ac:dyDescent="0.25">
      <c r="A19" t="s">
        <v>101</v>
      </c>
      <c r="B19" s="3">
        <v>170</v>
      </c>
      <c r="C19" s="3">
        <v>180</v>
      </c>
      <c r="D19" s="3">
        <v>12</v>
      </c>
      <c r="E19" s="3">
        <v>55</v>
      </c>
      <c r="F19" s="3">
        <v>70</v>
      </c>
      <c r="G19" s="3">
        <v>210</v>
      </c>
      <c r="H19" s="3">
        <v>250</v>
      </c>
      <c r="I19" s="3">
        <v>60</v>
      </c>
      <c r="J19" s="3">
        <f t="shared" si="0"/>
        <v>1007</v>
      </c>
      <c r="K19" s="3">
        <f t="shared" si="1"/>
        <v>5885.55</v>
      </c>
    </row>
    <row r="20" spans="1:11" x14ac:dyDescent="0.25">
      <c r="A20" t="s">
        <v>102</v>
      </c>
      <c r="B20" s="3">
        <v>180</v>
      </c>
      <c r="C20" s="3">
        <v>200</v>
      </c>
      <c r="D20" s="3">
        <v>14</v>
      </c>
      <c r="E20" s="3">
        <v>60</v>
      </c>
      <c r="F20" s="3">
        <v>80</v>
      </c>
      <c r="G20" s="3">
        <v>250</v>
      </c>
      <c r="H20" s="3">
        <v>275</v>
      </c>
      <c r="I20" s="3">
        <v>65</v>
      </c>
      <c r="J20" s="3">
        <f t="shared" si="0"/>
        <v>1124</v>
      </c>
      <c r="K20" s="3">
        <f t="shared" si="1"/>
        <v>7009.55</v>
      </c>
    </row>
    <row r="21" spans="1:11" x14ac:dyDescent="0.25">
      <c r="A21" t="s">
        <v>103</v>
      </c>
      <c r="B21" s="3">
        <v>190</v>
      </c>
      <c r="C21" s="3">
        <v>220</v>
      </c>
      <c r="D21" s="3">
        <v>16</v>
      </c>
      <c r="E21" s="3">
        <v>65</v>
      </c>
      <c r="F21" s="3">
        <v>90</v>
      </c>
      <c r="G21" s="3">
        <v>280</v>
      </c>
      <c r="H21" s="3">
        <v>300</v>
      </c>
      <c r="I21" s="3">
        <v>70</v>
      </c>
      <c r="J21" s="3">
        <f t="shared" si="0"/>
        <v>1231</v>
      </c>
      <c r="K21" s="3">
        <f t="shared" si="1"/>
        <v>8240.5499999999993</v>
      </c>
    </row>
    <row r="22" spans="1:11" x14ac:dyDescent="0.25">
      <c r="A22" t="s">
        <v>104</v>
      </c>
      <c r="B22" s="3">
        <v>200</v>
      </c>
      <c r="C22" s="3">
        <v>240</v>
      </c>
      <c r="D22" s="3">
        <v>18</v>
      </c>
      <c r="E22" s="3">
        <v>70</v>
      </c>
      <c r="F22" s="3">
        <v>100</v>
      </c>
      <c r="G22" s="3">
        <v>320</v>
      </c>
      <c r="H22" s="3">
        <v>350</v>
      </c>
      <c r="I22" s="3">
        <v>75</v>
      </c>
      <c r="J22" s="3">
        <f t="shared" si="0"/>
        <v>1373</v>
      </c>
      <c r="K22" s="3">
        <f t="shared" si="1"/>
        <v>9613.5499999999993</v>
      </c>
    </row>
    <row r="23" spans="1:11" x14ac:dyDescent="0.25">
      <c r="A23" t="s">
        <v>74</v>
      </c>
      <c r="B23" s="3">
        <f t="shared" ref="B23:K23" si="2">SUM(B5:B22)</f>
        <v>1655</v>
      </c>
      <c r="C23" s="3">
        <f t="shared" si="2"/>
        <v>1805</v>
      </c>
      <c r="D23" s="3">
        <f t="shared" si="2"/>
        <v>108</v>
      </c>
      <c r="E23" s="3">
        <f t="shared" si="2"/>
        <v>531.5</v>
      </c>
      <c r="F23" s="3">
        <f t="shared" si="2"/>
        <v>637</v>
      </c>
      <c r="G23" s="3">
        <f t="shared" si="2"/>
        <v>1906</v>
      </c>
      <c r="H23" s="3">
        <f t="shared" si="2"/>
        <v>2336.0500000000002</v>
      </c>
      <c r="I23" s="3">
        <f t="shared" si="2"/>
        <v>635</v>
      </c>
      <c r="J23" s="3">
        <f t="shared" si="2"/>
        <v>9613.5499999999993</v>
      </c>
      <c r="K23" s="3">
        <f t="shared" si="2"/>
        <v>51705.100000000006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Startup &amp; Operating Expenses</vt:lpstr>
      <vt:lpstr>Infrastructure Components</vt:lpstr>
      <vt:lpstr>Monthly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Cameron</cp:lastModifiedBy>
  <dcterms:created xsi:type="dcterms:W3CDTF">2026-03-19T06:37:19Z</dcterms:created>
  <dcterms:modified xsi:type="dcterms:W3CDTF">2026-03-19T12:22:47Z</dcterms:modified>
</cp:coreProperties>
</file>